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B8" i="1"/>
  <c r="C7" i="1"/>
  <c r="D7" i="1"/>
  <c r="E7" i="1"/>
  <c r="F7" i="1"/>
  <c r="B7" i="1"/>
  <c r="L2" i="1"/>
  <c r="M2" i="1"/>
  <c r="K2" i="1"/>
  <c r="J2" i="1"/>
  <c r="E3" i="1"/>
  <c r="F3" i="1" s="1"/>
  <c r="E4" i="1"/>
  <c r="F4" i="1" s="1"/>
  <c r="E5" i="1"/>
  <c r="E6" i="1"/>
  <c r="E2" i="1"/>
  <c r="F2" i="1" s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<sst xmlns="http://schemas.openxmlformats.org/spreadsheetml/2006/main" count="18" uniqueCount="18">
  <si>
    <t>ФИО Сотрудника</t>
  </si>
  <si>
    <t>Оклад(руб)</t>
  </si>
  <si>
    <t>Премия(;%)</t>
  </si>
  <si>
    <t>Премия(руб)</t>
  </si>
  <si>
    <t>НДФЛ(13%)</t>
  </si>
  <si>
    <t>К выдаче</t>
  </si>
  <si>
    <t>Иванов И.И</t>
  </si>
  <si>
    <t>Петров П.П</t>
  </si>
  <si>
    <t>Сидоров С.С</t>
  </si>
  <si>
    <t>Кузнецов К.К</t>
  </si>
  <si>
    <t>Смирнов С.С</t>
  </si>
  <si>
    <t>№ п/п</t>
  </si>
  <si>
    <t>Ставка НДФЛ</t>
  </si>
  <si>
    <t>Коэфицент</t>
  </si>
  <si>
    <t>ИТОГ</t>
  </si>
  <si>
    <t>Средняя зарплата</t>
  </si>
  <si>
    <t>Максимум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</si>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</sst>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#,##0.00\ &quot;₽&quot;;\-#,##0.00\ &quot;₽&quot;"/>
    <numFmt numFmtId="44" formatCode="_-* #,##0.00\ &quot;₽&quot;_-;\-* #,##0.00\ &quot;₽&quot;_-;_-* &quot;-&quot;??\ &quot;₽&quot;_-;_-@_-"/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center"/>
    </xf>
    <xf numFmtId="7" fontId="2" fillId="3" borderId="0" xfId="1" applyNumberFormat="1" applyFont="1" applyFill="1" applyAlignment="1">
      <alignment horizontal="center"/>
    </xf>
    <xf numFmtId="7" fontId="0" fillId="0" borderId="0" xfId="1" applyNumberFormat="1" applyFont="1"/>
    <xf numFmtId="164" fontId="2" fillId="3" borderId="0" xfId="0" applyNumberFormat="1" applyFont="1" applyFill="1" applyAlignment="1">
      <alignment horizontal="center"/>
    </xf>
    <xf numFmtId="164" fontId="0" fillId="0" borderId="0" xfId="0" applyNumberFormat="1"/>
    <xf numFmtId="0" fontId="0" fillId="2" borderId="0" xfId="0" applyFill="1"/>
    <xf numFmtId="7" fontId="0" fillId="0" borderId="0" xfId="0" applyNumberFormat="1"/>
    <xf numFmtId="44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C10" sqref="C10"/>
    </sheetView>
  </sheetViews>
  <sheetFormatPr defaultRowHeight="15" x14ac:dyDescent="0.25"/>
  <cols>
    <col min="1" max="1" width="16.85546875" bestFit="1" customWidth="1"/>
    <col min="2" max="2" width="11.5703125" bestFit="1" customWidth="1"/>
    <col min="3" max="3" width="11.85546875" bestFit="1" customWidth="1"/>
    <col min="4" max="4" width="13.140625" bestFit="1" customWidth="1"/>
    <col min="5" max="5" width="11.5703125" bestFit="1" customWidth="1"/>
    <col min="6" max="6" width="13.140625" bestFit="1" customWidth="1"/>
    <col min="7" max="7" width="6.85546875" bestFit="1" customWidth="1"/>
    <col min="8" max="8" width="13.140625" bestFit="1" customWidth="1"/>
    <col min="9" max="9" width="11.140625" bestFit="1" customWidth="1"/>
    <col min="10" max="10" width="10.5703125" bestFit="1" customWidth="1"/>
  </cols>
  <sheetData>
    <row r="1" spans="1:13" x14ac:dyDescent="0.25">
      <c r="A1" s="2" t="s">
        <v>0</v>
      </c>
      <c r="B1" s="3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11</v>
      </c>
      <c r="H1" s="5" t="s">
        <v>12</v>
      </c>
      <c r="I1" s="5" t="s">
        <v>13</v>
      </c>
    </row>
    <row r="2" spans="1:13" x14ac:dyDescent="0.25">
      <c r="A2" t="s">
        <v>6</v>
      </c>
      <c r="B2" s="4">
        <v>50000</v>
      </c>
      <c r="C2">
        <v>20</v>
      </c>
      <c r="D2" s="6">
        <f>B2*C2/100</f>
        <v>10000</v>
      </c>
      <c r="E2" s="6">
        <f>(B2+D2)*$H$2</f>
        <v>7800</v>
      </c>
      <c r="F2" s="6">
        <f>B2+D2-E2</f>
        <v>52200</v>
      </c>
      <c r="G2">
        <v>1</v>
      </c>
      <c r="H2" s="7">
        <v>0.13</v>
      </c>
      <c r="I2">
        <v>1.5</v>
      </c>
      <c r="J2" s="8">
        <f>B2*$I$2</f>
        <v>75000</v>
      </c>
      <c r="K2">
        <f>B2*$I$2</f>
        <v>75000</v>
      </c>
      <c r="L2">
        <f t="shared" ref="L2:M2" si="0">C2*$I$2</f>
        <v>30</v>
      </c>
      <c r="M2">
        <f t="shared" si="0"/>
        <v>15000</v>
      </c>
    </row>
    <row r="3" spans="1:13" x14ac:dyDescent="0.25">
      <c r="A3" t="s">
        <v>7</v>
      </c>
      <c r="B3" s="4">
        <v>45000</v>
      </c>
      <c r="C3">
        <v>15</v>
      </c>
      <c r="D3" s="6">
        <f t="shared" ref="D3:D6" si="1">B3*C3/100</f>
        <v>6750</v>
      </c>
      <c r="E3" s="6">
        <f t="shared" ref="E3:E6" si="2">(B3+D3)*$H$2</f>
        <v>6727.5</v>
      </c>
      <c r="F3" s="6">
        <f t="shared" ref="F3:F6" si="3">B3+D3-E3</f>
        <v>45022.5</v>
      </c>
      <c r="G3">
        <v>2</v>
      </c>
    </row>
    <row r="4" spans="1:13" x14ac:dyDescent="0.25">
      <c r="A4" t="s">
        <v>8</v>
      </c>
      <c r="B4" s="4">
        <v>62000</v>
      </c>
      <c r="C4">
        <v>25</v>
      </c>
      <c r="D4" s="6">
        <f t="shared" si="1"/>
        <v>15500</v>
      </c>
      <c r="E4" s="6">
        <f t="shared" si="2"/>
        <v>10075</v>
      </c>
      <c r="F4" s="6">
        <f t="shared" si="3"/>
        <v>67425</v>
      </c>
      <c r="G4">
        <v>3</v>
      </c>
    </row>
    <row r="5" spans="1:13" x14ac:dyDescent="0.25">
      <c r="A5" t="s">
        <v>9</v>
      </c>
      <c r="B5" s="4">
        <v>55000</v>
      </c>
      <c r="C5">
        <v>10</v>
      </c>
      <c r="D5" s="6">
        <f t="shared" si="1"/>
        <v>5500</v>
      </c>
      <c r="E5" s="6">
        <f t="shared" si="2"/>
        <v>7865</v>
      </c>
      <c r="F5" s="6">
        <f t="shared" si="3"/>
        <v>52635</v>
      </c>
      <c r="G5">
        <v>4</v>
      </c>
    </row>
    <row r="6" spans="1:13" x14ac:dyDescent="0.25">
      <c r="A6" t="s">
        <v>10</v>
      </c>
      <c r="B6" s="4">
        <v>40000</v>
      </c>
      <c r="C6">
        <v>30</v>
      </c>
      <c r="D6" s="6">
        <f t="shared" si="1"/>
        <v>12000</v>
      </c>
      <c r="E6" s="6">
        <f t="shared" si="2"/>
        <v>6760</v>
      </c>
      <c r="F6" s="6">
        <f t="shared" si="3"/>
        <v>45240</v>
      </c>
      <c r="G6">
        <v>5</v>
      </c>
    </row>
    <row r="7" spans="1:13" x14ac:dyDescent="0.25">
      <c r="A7" s="1" t="s">
        <v>14</v>
      </c>
      <c r="B7" s="8">
        <f>SUM(B2:B6)</f>
        <v>252000</v>
      </c>
      <c r="C7" s="8">
        <f t="shared" ref="C7:F7" si="4">SUM(C2:C6)</f>
        <v>100</v>
      </c>
      <c r="D7" s="8">
        <f t="shared" si="4"/>
        <v>49750</v>
      </c>
      <c r="E7" s="8">
        <f t="shared" si="4"/>
        <v>39227.5</v>
      </c>
      <c r="F7" s="9">
        <f t="shared" si="4"/>
        <v>262522.5</v>
      </c>
    </row>
    <row r="8" spans="1:13" x14ac:dyDescent="0.25">
      <c r="A8" s="1" t="s">
        <v>15</v>
      </c>
      <c r="B8" s="6">
        <f>AVERAGE(F2:F6)</f>
        <v>52504.5</v>
      </c>
    </row>
    <row r="9" spans="1:13" x14ac:dyDescent="0.25">
      <c r="A9" t="s">
        <v>16</v>
      </c>
      <c r="B9" s="6">
        <f>MAX(F2:F6)</f>
        <v>67425</v>
      </c>
    </row>
    <row r="10" spans="1:13" x14ac:dyDescent="0.25">
      <c r="A10" t="s">
        <v>17</v>
      </c>
      <c r="B10" s="6">
        <f>MIN(F2:F6)</f>
        <v>45022.5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2026-09-22T09:12:53Z</dcterms:modified>
</cp:coreProperties>
</file>