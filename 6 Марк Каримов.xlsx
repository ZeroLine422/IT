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Статистика" sheetId="1" r:id="rId1"/>
    <sheet name="Компани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2" l="1"/>
  <c r="G2" i="2"/>
  <c r="Q2" i="2"/>
  <c r="P2" i="2"/>
  <c r="O2" i="2"/>
  <c r="N2" i="2"/>
  <c r="M2" i="2"/>
  <c r="L2" i="2"/>
  <c r="K2" i="2"/>
  <c r="J2" i="2"/>
  <c r="I2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M2" i="1"/>
  <c r="K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<sst xmlns="http://schemas.openxmlformats.org/spreadsheetml/2006/main" count="60" uniqueCount="59">
  <si>
    <t>№</t>
  </si>
  <si>
    <t>Фио Студента</t>
  </si>
  <si>
    <t>Балл (1 тест)</t>
  </si>
  <si>
    <t>Балл (3 проект)</t>
  </si>
  <si>
    <t>Балл (2 практика)</t>
  </si>
  <si>
    <t>Сумма баллов</t>
  </si>
  <si>
    <t>Оценка</t>
  </si>
  <si>
    <t>Ранг</t>
  </si>
  <si>
    <t>Иванов И.И</t>
  </si>
  <si>
    <t>Петров П.П.</t>
  </si>
  <si>
    <t>Сидорова С.С.</t>
  </si>
  <si>
    <t>Кузнецов К.К.</t>
  </si>
  <si>
    <t>Смирнова С.С</t>
  </si>
  <si>
    <t>Морозова М.М</t>
  </si>
  <si>
    <t>Волков В.В</t>
  </si>
  <si>
    <t>Новиков Н.Н.</t>
  </si>
  <si>
    <t>Фёдорова Ф.Ф</t>
  </si>
  <si>
    <t>Егоров Е.Е.</t>
  </si>
  <si>
    <t>Павлова П.П</t>
  </si>
  <si>
    <t>Соколов С.С</t>
  </si>
  <si>
    <t>Лебедева Л.Л</t>
  </si>
  <si>
    <t>Козлов К.К.</t>
  </si>
  <si>
    <t>Степанова С.С.</t>
  </si>
  <si>
    <t>Средний балл</t>
  </si>
  <si>
    <t>Медианна</t>
  </si>
  <si>
    <t>Мода</t>
  </si>
  <si>
    <t>Минимум</t>
  </si>
  <si>
    <t>Максимум</t>
  </si>
  <si>
    <t>Товар</t>
  </si>
  <si>
    <t>Цена(руб)</t>
  </si>
  <si>
    <t>Проданно(шт)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</si>
  <si>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</si>
  <si>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</si>
  <si>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</si>
  <si>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</si>
  <si>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</si>
  <si>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</si>
  <si>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</si>
  <si>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</si>
  <si>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</si>
  <si>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</si>
  <si>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 камера</t>
  </si>
  <si>
    <t>Наушники</t>
  </si>
  <si>
    <t>Коврик для мыши</t>
  </si>
  <si>
    <t>USB хаб</t>
  </si>
  <si>
    <t>Картридж</t>
  </si>
  <si>
    <t>Бумага А4</t>
  </si>
  <si>
    <t>Роутер</t>
  </si>
  <si>
    <t>Сумма</t>
  </si>
  <si>
    <t>Среднее</t>
  </si>
  <si>
    <t>медиана</t>
  </si>
  <si>
    <t>мода</t>
  </si>
  <si>
    <t>минимум</t>
  </si>
  <si>
    <t>максимум</t>
  </si>
  <si>
    <t>стандартное  отклонение</t>
  </si>
  <si>
    <t xml:space="preserve">Дисперсия </t>
  </si>
  <si>
    <t>Кол Топ</t>
  </si>
  <si>
    <t>Кол Средний</t>
  </si>
  <si>
    <t>Кол Низкий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</si>
</sst>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left"/>
    </xf>
    <xf numFmtId="1" fontId="1" fillId="2" borderId="2" xfId="0" applyNumberFormat="1" applyFont="1" applyFill="1" applyBorder="1" applyAlignment="1">
      <alignment horizontal="center"/>
    </xf>
    <xf numFmtId="1" fontId="0" fillId="0" borderId="0" xfId="0" applyNumberFormat="1"/>
    <xf numFmtId="10" fontId="2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M3" sqref="M3"/>
    </sheetView>
  </sheetViews>
  <sheetFormatPr defaultRowHeight="15" x14ac:dyDescent="0.25"/>
  <cols>
    <col min="1" max="1" width="3.28515625" bestFit="1" customWidth="1"/>
    <col min="2" max="2" width="14.7109375" bestFit="1" customWidth="1"/>
    <col min="3" max="3" width="12.42578125" bestFit="1" customWidth="1"/>
    <col min="4" max="4" width="17.28515625" bestFit="1" customWidth="1"/>
    <col min="5" max="5" width="15.28515625" bestFit="1" customWidth="1"/>
    <col min="6" max="6" width="14.42578125" bestFit="1" customWidth="1"/>
    <col min="7" max="7" width="14.140625" bestFit="1" customWidth="1"/>
    <col min="8" max="8" width="7.85546875" bestFit="1" customWidth="1"/>
    <col min="9" max="9" width="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</v>
      </c>
      <c r="G1" s="3" t="s">
        <v>23</v>
      </c>
      <c r="H1" s="3" t="s">
        <v>6</v>
      </c>
      <c r="I1" s="3" t="s">
        <v>7</v>
      </c>
      <c r="J1" s="6" t="s">
        <v>24</v>
      </c>
      <c r="K1" s="6" t="s">
        <v>25</v>
      </c>
      <c r="L1" s="6" t="s">
        <v>26</v>
      </c>
      <c r="M1" s="6" t="s">
        <v>27</v>
      </c>
    </row>
    <row r="2" spans="1:13" x14ac:dyDescent="0.25">
      <c r="A2" s="4">
        <v>1</v>
      </c>
      <c r="B2" s="5" t="s">
        <v>8</v>
      </c>
      <c r="C2" s="4">
        <v>85</v>
      </c>
      <c r="D2" s="4">
        <v>78</v>
      </c>
      <c r="E2" s="4">
        <v>92</v>
      </c>
      <c r="F2" s="4">
        <f>C2+D2+E2</f>
        <v>255</v>
      </c>
      <c r="G2" s="4">
        <f>AVERAGE(C2:E2)</f>
        <v>85</v>
      </c>
      <c r="H2" s="4"/>
      <c r="I2" s="2"/>
      <c r="J2" s="7">
        <f>MEDIAN(C2:E2)</f>
        <v>85</v>
      </c>
      <c r="K2">
        <f>_xlfn.MODE.MULT(C2:G16)</f>
        <v>85</v>
      </c>
      <c r="L2" s="7">
        <f>MIN(C2:E16)</f>
        <v>55</v>
      </c>
      <c r="M2" s="7">
        <f>MAX(C2:E16)</f>
        <v>100</v>
      </c>
    </row>
    <row r="3" spans="1:13" x14ac:dyDescent="0.25">
      <c r="A3" s="4">
        <v>2</v>
      </c>
      <c r="B3" s="5" t="s">
        <v>9</v>
      </c>
      <c r="C3" s="4">
        <v>72</v>
      </c>
      <c r="D3" s="4">
        <v>65</v>
      </c>
      <c r="E3" s="4">
        <v>80</v>
      </c>
      <c r="F3" s="4">
        <f t="shared" ref="F3:F16" si="0">C3+D3+E3</f>
        <v>217</v>
      </c>
      <c r="G3" s="4">
        <f t="shared" ref="G3:G16" si="1">AVERAGE(C3:E3)</f>
        <v>72.333333333333329</v>
      </c>
      <c r="H3" s="4"/>
      <c r="I3" s="2"/>
      <c r="J3" s="7">
        <f t="shared" ref="J3:J16" si="2">MEDIAN(C3:E3)</f>
        <v>72</v>
      </c>
    </row>
    <row r="4" spans="1:13" x14ac:dyDescent="0.25">
      <c r="A4" s="4">
        <v>3</v>
      </c>
      <c r="B4" s="5" t="s">
        <v>10</v>
      </c>
      <c r="C4" s="4">
        <v>95</v>
      </c>
      <c r="D4" s="4">
        <v>88</v>
      </c>
      <c r="E4" s="4">
        <v>98</v>
      </c>
      <c r="F4" s="4">
        <f t="shared" si="0"/>
        <v>281</v>
      </c>
      <c r="G4" s="4">
        <f t="shared" si="1"/>
        <v>93.666666666666671</v>
      </c>
      <c r="H4" s="4"/>
      <c r="I4" s="2"/>
      <c r="J4" s="7">
        <f t="shared" si="2"/>
        <v>95</v>
      </c>
    </row>
    <row r="5" spans="1:13" x14ac:dyDescent="0.25">
      <c r="A5" s="4">
        <v>4</v>
      </c>
      <c r="B5" s="5" t="s">
        <v>11</v>
      </c>
      <c r="C5" s="4">
        <v>65</v>
      </c>
      <c r="D5" s="4">
        <v>55</v>
      </c>
      <c r="E5" s="4">
        <v>70</v>
      </c>
      <c r="F5" s="4">
        <f t="shared" si="0"/>
        <v>190</v>
      </c>
      <c r="G5" s="4">
        <f t="shared" si="1"/>
        <v>63.333333333333336</v>
      </c>
      <c r="H5" s="4"/>
      <c r="I5" s="2"/>
      <c r="J5" s="7">
        <f t="shared" si="2"/>
        <v>65</v>
      </c>
    </row>
    <row r="6" spans="1:13" x14ac:dyDescent="0.25">
      <c r="A6" s="4">
        <v>5</v>
      </c>
      <c r="B6" s="5" t="s">
        <v>12</v>
      </c>
      <c r="C6" s="4">
        <v>78</v>
      </c>
      <c r="D6" s="4">
        <v>82</v>
      </c>
      <c r="E6" s="4">
        <v>85</v>
      </c>
      <c r="F6" s="4">
        <f t="shared" si="0"/>
        <v>245</v>
      </c>
      <c r="G6" s="4">
        <f t="shared" si="1"/>
        <v>81.666666666666671</v>
      </c>
      <c r="H6" s="4"/>
      <c r="I6" s="2"/>
      <c r="J6" s="7">
        <f t="shared" si="2"/>
        <v>82</v>
      </c>
    </row>
    <row r="7" spans="1:13" x14ac:dyDescent="0.25">
      <c r="A7" s="4">
        <v>6</v>
      </c>
      <c r="B7" s="5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4">
        <f t="shared" si="1"/>
        <v>91</v>
      </c>
      <c r="H7" s="4"/>
      <c r="I7" s="2"/>
      <c r="J7" s="7">
        <f t="shared" si="2"/>
        <v>90</v>
      </c>
    </row>
    <row r="8" spans="1:13" x14ac:dyDescent="0.25">
      <c r="A8" s="4">
        <v>7</v>
      </c>
      <c r="B8" s="5" t="s">
        <v>13</v>
      </c>
      <c r="C8" s="4">
        <v>65</v>
      </c>
      <c r="D8" s="4">
        <v>70</v>
      </c>
      <c r="E8" s="4">
        <v>68</v>
      </c>
      <c r="F8" s="4">
        <f t="shared" si="0"/>
        <v>203</v>
      </c>
      <c r="G8" s="4">
        <f t="shared" si="1"/>
        <v>67.666666666666671</v>
      </c>
      <c r="H8" s="4"/>
      <c r="I8" s="2"/>
      <c r="J8" s="7">
        <f t="shared" si="2"/>
        <v>68</v>
      </c>
    </row>
    <row r="9" spans="1:13" x14ac:dyDescent="0.25">
      <c r="A9" s="4">
        <v>8</v>
      </c>
      <c r="B9" s="5" t="s">
        <v>15</v>
      </c>
      <c r="C9" s="4">
        <v>92</v>
      </c>
      <c r="D9" s="4">
        <v>85</v>
      </c>
      <c r="E9" s="4">
        <v>88</v>
      </c>
      <c r="F9" s="4">
        <f t="shared" si="0"/>
        <v>265</v>
      </c>
      <c r="G9" s="4">
        <f t="shared" si="1"/>
        <v>88.333333333333329</v>
      </c>
      <c r="H9" s="4"/>
      <c r="I9" s="2"/>
      <c r="J9" s="7">
        <f t="shared" si="2"/>
        <v>88</v>
      </c>
    </row>
    <row r="10" spans="1:13" x14ac:dyDescent="0.25">
      <c r="A10" s="4">
        <v>9</v>
      </c>
      <c r="B10" s="5" t="s">
        <v>16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4">
        <f t="shared" si="1"/>
        <v>57.666666666666664</v>
      </c>
      <c r="H10" s="4"/>
      <c r="I10" s="2"/>
      <c r="J10" s="7">
        <f t="shared" si="2"/>
        <v>58</v>
      </c>
    </row>
    <row r="11" spans="1:13" x14ac:dyDescent="0.25">
      <c r="A11" s="4">
        <v>10</v>
      </c>
      <c r="B11" s="5" t="s">
        <v>17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4">
        <f t="shared" si="1"/>
        <v>79</v>
      </c>
      <c r="H11" s="4"/>
      <c r="I11" s="2"/>
      <c r="J11" s="7">
        <f t="shared" si="2"/>
        <v>80</v>
      </c>
    </row>
    <row r="12" spans="1:13" x14ac:dyDescent="0.25">
      <c r="A12" s="4">
        <v>11</v>
      </c>
      <c r="B12" s="5" t="s">
        <v>18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4">
        <f t="shared" si="1"/>
        <v>70</v>
      </c>
      <c r="H12" s="4"/>
      <c r="I12" s="2"/>
      <c r="J12" s="7">
        <f t="shared" si="2"/>
        <v>70</v>
      </c>
    </row>
    <row r="13" spans="1:13" x14ac:dyDescent="0.25">
      <c r="A13" s="4">
        <v>12</v>
      </c>
      <c r="B13" s="5" t="s">
        <v>19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4">
        <f t="shared" si="1"/>
        <v>92</v>
      </c>
      <c r="H13" s="4"/>
      <c r="I13" s="2"/>
      <c r="J13" s="7">
        <f t="shared" si="2"/>
        <v>92</v>
      </c>
    </row>
    <row r="14" spans="1:13" x14ac:dyDescent="0.25">
      <c r="A14" s="4">
        <v>13</v>
      </c>
      <c r="B14" s="5" t="s">
        <v>20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4">
        <f t="shared" si="1"/>
        <v>77.666666666666671</v>
      </c>
      <c r="H14" s="4"/>
      <c r="I14" s="2"/>
      <c r="J14" s="7">
        <f t="shared" si="2"/>
        <v>78</v>
      </c>
    </row>
    <row r="15" spans="1:13" x14ac:dyDescent="0.25">
      <c r="A15" s="4">
        <v>14</v>
      </c>
      <c r="B15" s="5" t="s">
        <v>21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4">
        <f t="shared" si="1"/>
        <v>61.666666666666664</v>
      </c>
      <c r="H15" s="4"/>
      <c r="I15" s="2"/>
      <c r="J15" s="7">
        <f t="shared" si="2"/>
        <v>62</v>
      </c>
    </row>
    <row r="16" spans="1:13" x14ac:dyDescent="0.25">
      <c r="A16" s="4">
        <v>15</v>
      </c>
      <c r="B16" s="5" t="s">
        <v>22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4">
        <f t="shared" si="1"/>
        <v>97.666666666666671</v>
      </c>
      <c r="H16" s="4"/>
      <c r="I16" s="2"/>
      <c r="J16" s="7">
        <f t="shared" si="2"/>
        <v>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workbookViewId="0">
      <selection activeCell="R3" sqref="R3"/>
    </sheetView>
  </sheetViews>
  <sheetFormatPr defaultRowHeight="15" x14ac:dyDescent="0.25"/>
  <cols>
    <col min="1" max="1" width="3.28515625" bestFit="1" customWidth="1"/>
    <col min="2" max="2" width="6.28515625" customWidth="1"/>
    <col min="3" max="3" width="10.42578125" bestFit="1" customWidth="1"/>
    <col min="4" max="4" width="14.28515625" bestFit="1" customWidth="1"/>
    <col min="5" max="5" width="8.85546875" bestFit="1" customWidth="1"/>
    <col min="6" max="6" width="10.28515625" bestFit="1" customWidth="1"/>
    <col min="7" max="7" width="7.28515625" customWidth="1"/>
    <col min="8" max="8" width="9.140625" customWidth="1"/>
    <col min="9" max="9" width="9.28515625" bestFit="1" customWidth="1"/>
    <col min="10" max="10" width="6" bestFit="1" customWidth="1"/>
    <col min="11" max="11" width="10.140625" bestFit="1" customWidth="1"/>
    <col min="12" max="12" width="10.7109375" bestFit="1" customWidth="1"/>
    <col min="13" max="13" width="24.85546875" bestFit="1" customWidth="1"/>
    <col min="14" max="14" width="11.28515625" customWidth="1"/>
    <col min="15" max="15" width="8.140625" customWidth="1"/>
    <col min="16" max="16" width="13.140625" bestFit="1" customWidth="1"/>
    <col min="17" max="17" width="11.42578125" bestFit="1" customWidth="1"/>
    <col min="18" max="18" width="10.28515625" bestFit="1" customWidth="1"/>
  </cols>
  <sheetData>
    <row r="1" spans="1:18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</row>
    <row r="2" spans="1:18" x14ac:dyDescent="0.25">
      <c r="A2">
        <v>1</v>
      </c>
      <c r="B2" t="s">
        <v>33</v>
      </c>
      <c r="C2">
        <v>4500</v>
      </c>
      <c r="D2">
        <v>12</v>
      </c>
      <c r="E2">
        <f>C2*D2</f>
        <v>54000</v>
      </c>
      <c r="F2" t="str">
        <f>IF(E2&gt;100000, "Топ", IF(E2&gt;50000, "Средний", "Низкий"))</f>
        <v>Средний</v>
      </c>
      <c r="G2" s="9">
        <f>SUM(E2:E16)</f>
        <v>1402100</v>
      </c>
      <c r="H2">
        <f>AVERAGE(E2:E16)</f>
        <v>93473.333333333328</v>
      </c>
      <c r="I2">
        <f>MEDIAN(E2:E16)</f>
        <v>68000</v>
      </c>
      <c r="J2">
        <f>_xlfn.MODE.SNGL(E2:E16)</f>
        <v>54000</v>
      </c>
      <c r="K2">
        <f>MIN(E2:E16)</f>
        <v>36000</v>
      </c>
      <c r="L2">
        <f>MAX(E2:E16)</f>
        <v>450000</v>
      </c>
      <c r="M2">
        <f>_xlfn.STDEV.S(E2:E16)</f>
        <v>100724.46480137687</v>
      </c>
      <c r="N2">
        <f>_xlfn.VAR.S(E2:E16)</f>
        <v>10145417809.523808</v>
      </c>
      <c r="O2">
        <f>COUNTIF(F2:F16, "Топ")</f>
        <v>2</v>
      </c>
      <c r="P2">
        <f>COUNTIF(F2:F16, "Средний")</f>
        <v>10</v>
      </c>
      <c r="Q2">
        <f>COUNTIF(F2:F16, "Низкий")</f>
        <v>3</v>
      </c>
      <c r="R2" s="8">
        <f>E2/$G$2</f>
        <v>3.851365808430212E-2</v>
      </c>
    </row>
    <row r="3" spans="1:18" x14ac:dyDescent="0.25">
      <c r="A3">
        <v>2</v>
      </c>
      <c r="B3" t="s">
        <v>34</v>
      </c>
      <c r="C3">
        <v>18000</v>
      </c>
      <c r="D3">
        <v>25</v>
      </c>
      <c r="E3">
        <f t="shared" ref="E3:E16" si="0">C3*D3</f>
        <v>450000</v>
      </c>
      <c r="F3" t="str">
        <f t="shared" ref="F3:F16" si="1">IF(E3&gt;100000, "Топ", IF(E3&gt;50000, "Средний", "Низкий"))</f>
        <v>Топ</v>
      </c>
    </row>
    <row r="4" spans="1:18" x14ac:dyDescent="0.25">
      <c r="A4">
        <v>3</v>
      </c>
      <c r="B4" t="s">
        <v>35</v>
      </c>
      <c r="C4">
        <v>1500</v>
      </c>
      <c r="D4">
        <v>60</v>
      </c>
      <c r="E4">
        <f t="shared" si="0"/>
        <v>90000</v>
      </c>
      <c r="F4" t="str">
        <f t="shared" si="1"/>
        <v>Средний</v>
      </c>
    </row>
    <row r="5" spans="1:18" x14ac:dyDescent="0.25">
      <c r="A5">
        <v>4</v>
      </c>
      <c r="B5" t="s">
        <v>36</v>
      </c>
      <c r="C5">
        <v>800</v>
      </c>
      <c r="D5">
        <v>85</v>
      </c>
      <c r="E5">
        <f t="shared" si="0"/>
        <v>68000</v>
      </c>
      <c r="F5" t="str">
        <f t="shared" si="1"/>
        <v>Средний</v>
      </c>
    </row>
    <row r="6" spans="1:18" x14ac:dyDescent="0.25">
      <c r="A6">
        <v>5</v>
      </c>
      <c r="B6" t="s">
        <v>37</v>
      </c>
      <c r="C6">
        <v>12000</v>
      </c>
      <c r="D6">
        <v>8</v>
      </c>
      <c r="E6">
        <f t="shared" si="0"/>
        <v>96000</v>
      </c>
      <c r="F6" t="str">
        <f t="shared" si="1"/>
        <v>Средний</v>
      </c>
    </row>
    <row r="7" spans="1:18" x14ac:dyDescent="0.25">
      <c r="A7">
        <v>6</v>
      </c>
      <c r="B7" t="s">
        <v>38</v>
      </c>
      <c r="C7">
        <v>9000</v>
      </c>
      <c r="D7">
        <v>6</v>
      </c>
      <c r="E7">
        <f t="shared" si="0"/>
        <v>54000</v>
      </c>
      <c r="F7" t="str">
        <f t="shared" si="1"/>
        <v>Средний</v>
      </c>
    </row>
    <row r="8" spans="1:18" x14ac:dyDescent="0.25">
      <c r="A8">
        <v>7</v>
      </c>
      <c r="B8" t="s">
        <v>39</v>
      </c>
      <c r="C8">
        <v>600</v>
      </c>
      <c r="D8">
        <v>120</v>
      </c>
      <c r="E8">
        <f t="shared" si="0"/>
        <v>72000</v>
      </c>
      <c r="F8" t="str">
        <f t="shared" si="1"/>
        <v>Средний</v>
      </c>
    </row>
    <row r="9" spans="1:18" x14ac:dyDescent="0.25">
      <c r="A9">
        <v>8</v>
      </c>
      <c r="B9" t="s">
        <v>40</v>
      </c>
      <c r="C9">
        <v>5500</v>
      </c>
      <c r="D9">
        <v>15</v>
      </c>
      <c r="E9">
        <f t="shared" si="0"/>
        <v>82500</v>
      </c>
      <c r="F9" t="str">
        <f t="shared" si="1"/>
        <v>Средний</v>
      </c>
    </row>
    <row r="10" spans="1:18" x14ac:dyDescent="0.25">
      <c r="A10">
        <v>9</v>
      </c>
      <c r="B10" t="s">
        <v>41</v>
      </c>
      <c r="C10">
        <v>2800</v>
      </c>
      <c r="D10">
        <v>22</v>
      </c>
      <c r="E10">
        <f t="shared" si="0"/>
        <v>61600</v>
      </c>
      <c r="F10" t="str">
        <f t="shared" si="1"/>
        <v>Средний</v>
      </c>
    </row>
    <row r="11" spans="1:18" x14ac:dyDescent="0.25">
      <c r="A11">
        <v>10</v>
      </c>
      <c r="B11" t="s">
        <v>42</v>
      </c>
      <c r="C11">
        <v>3200</v>
      </c>
      <c r="D11">
        <v>35</v>
      </c>
      <c r="E11">
        <f t="shared" si="0"/>
        <v>112000</v>
      </c>
      <c r="F11" t="str">
        <f t="shared" si="1"/>
        <v>Топ</v>
      </c>
    </row>
    <row r="12" spans="1:18" x14ac:dyDescent="0.25">
      <c r="A12">
        <v>11</v>
      </c>
      <c r="B12" t="s">
        <v>43</v>
      </c>
      <c r="C12">
        <v>400</v>
      </c>
      <c r="D12">
        <v>90</v>
      </c>
      <c r="E12">
        <f t="shared" si="0"/>
        <v>36000</v>
      </c>
      <c r="F12" t="str">
        <f t="shared" si="1"/>
        <v>Низкий</v>
      </c>
    </row>
    <row r="13" spans="1:18" x14ac:dyDescent="0.25">
      <c r="A13">
        <v>12</v>
      </c>
      <c r="B13" t="s">
        <v>44</v>
      </c>
      <c r="C13">
        <v>1200</v>
      </c>
      <c r="D13">
        <v>40</v>
      </c>
      <c r="E13">
        <f t="shared" si="0"/>
        <v>48000</v>
      </c>
      <c r="F13" t="str">
        <f t="shared" si="1"/>
        <v>Низкий</v>
      </c>
    </row>
    <row r="14" spans="1:18" x14ac:dyDescent="0.25">
      <c r="A14">
        <v>13</v>
      </c>
      <c r="B14" t="s">
        <v>45</v>
      </c>
      <c r="C14">
        <v>2500</v>
      </c>
      <c r="D14">
        <v>18</v>
      </c>
      <c r="E14">
        <f t="shared" si="0"/>
        <v>45000</v>
      </c>
      <c r="F14" t="str">
        <f t="shared" si="1"/>
        <v>Низкий</v>
      </c>
    </row>
    <row r="15" spans="1:18" x14ac:dyDescent="0.25">
      <c r="A15">
        <v>14</v>
      </c>
      <c r="B15" t="s">
        <v>46</v>
      </c>
      <c r="C15">
        <v>350</v>
      </c>
      <c r="D15">
        <v>200</v>
      </c>
      <c r="E15">
        <f t="shared" si="0"/>
        <v>70000</v>
      </c>
      <c r="F15" t="str">
        <f t="shared" si="1"/>
        <v>Средний</v>
      </c>
    </row>
    <row r="16" spans="1:18" x14ac:dyDescent="0.25">
      <c r="A16">
        <v>15</v>
      </c>
      <c r="B16" t="s">
        <v>47</v>
      </c>
      <c r="C16">
        <v>4500</v>
      </c>
      <c r="D16">
        <v>14</v>
      </c>
      <c r="E16">
        <f t="shared" si="0"/>
        <v>63000</v>
      </c>
      <c r="F16" t="str">
        <f t="shared" si="1"/>
        <v>Средний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Компания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2026-10-13T09:30:21Z</dcterms:modified>
</cp:coreProperties>
</file>