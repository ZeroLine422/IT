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Математи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<sst xmlns="http://schemas.openxmlformats.org/spreadsheetml/2006/main" count="13" uniqueCount="13">
  <si>
    <t>№ детали</t>
  </si>
  <si>
    <t>Радиус R(мм)</t>
  </si>
  <si>
    <t>Высота h(мм)</t>
  </si>
  <si>
    <t>Масса m(кг)</t>
  </si>
  <si>
    <t>Длина L(мм)</t>
  </si>
  <si>
    <t>Диаметр(мм)</t>
  </si>
  <si>
    <r>
      <t>Объем(мм</t>
    </r>
    <r>
      <rPr>
        <b/>
        <vertAlign val="superscript"/>
        <sz val="11"/>
        <color theme="0"/>
        <rFont val="Calibri"/>
        <family val="2"/>
        <charset val="204"/>
        <scheme val="minor"/>
      </rPr>
      <t>3)</t>
    </r>
  </si>
  <si>
    <t>√V</t>
  </si>
  <si>
    <t>|m-3|</t>
  </si>
  <si>
    <t xml:space="preserve"> (норма массы, КГ)</t>
  </si>
  <si>
    <t>Начальная сумма</t>
  </si>
  <si>
    <t>Ставка годовая</t>
  </si>
  <si>
    <t>Срок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</si>
</sst>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vertAlign val="superscript"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B1" workbookViewId="0">
      <selection activeCell="V16" sqref="V16"/>
    </sheetView>
  </sheetViews>
  <sheetFormatPr defaultRowHeight="15" x14ac:dyDescent="0.25"/>
  <cols>
    <col min="1" max="1" width="10.28515625" bestFit="1" customWidth="1"/>
    <col min="2" max="2" width="13.7109375" bestFit="1" customWidth="1"/>
    <col min="3" max="3" width="13.85546875" bestFit="1" customWidth="1"/>
    <col min="4" max="4" width="11.85546875" bestFit="1" customWidth="1"/>
    <col min="5" max="5" width="12.7109375" bestFit="1" customWidth="1"/>
    <col min="6" max="6" width="14" bestFit="1" customWidth="1"/>
    <col min="7" max="7" width="12.42578125" bestFit="1" customWidth="1"/>
    <col min="8" max="8" width="12" bestFit="1" customWidth="1"/>
    <col min="11" max="11" width="19.42578125" bestFit="1" customWidth="1"/>
    <col min="19" max="19" width="16.85546875" bestFit="1" customWidth="1"/>
    <col min="20" max="20" width="7" customWidth="1"/>
  </cols>
  <sheetData>
    <row r="1" spans="1:20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7" t="s">
        <v>8</v>
      </c>
      <c r="K1" s="6" t="s">
        <v>9</v>
      </c>
      <c r="S1" t="s">
        <v>10</v>
      </c>
      <c r="T1">
        <v>100000</v>
      </c>
    </row>
    <row r="2" spans="1:20" x14ac:dyDescent="0.25">
      <c r="A2" s="2">
        <v>1</v>
      </c>
      <c r="B2" s="2">
        <v>12.5</v>
      </c>
      <c r="C2" s="2">
        <v>30</v>
      </c>
      <c r="D2" s="2">
        <v>2.4</v>
      </c>
      <c r="E2" s="2">
        <v>145</v>
      </c>
      <c r="F2" s="3">
        <f>2*B2</f>
        <v>25</v>
      </c>
      <c r="G2" s="4">
        <f>PI()*POWER(B2,2)*C2</f>
        <v>14726.215563702155</v>
      </c>
      <c r="H2" s="3">
        <f>SQRT(G2)</f>
        <v>121.3516195347312</v>
      </c>
      <c r="I2">
        <f>ABS(D2-$K$2)</f>
        <v>0.60000000000000009</v>
      </c>
      <c r="K2">
        <v>3</v>
      </c>
      <c r="S2" t="s">
        <v>11</v>
      </c>
      <c r="T2" s="8">
        <v>0.12</v>
      </c>
    </row>
    <row r="3" spans="1:20" x14ac:dyDescent="0.25">
      <c r="A3" s="2">
        <v>2</v>
      </c>
      <c r="B3" s="2">
        <v>8.3000000000000007</v>
      </c>
      <c r="C3" s="2">
        <v>25</v>
      </c>
      <c r="D3" s="2">
        <v>1.1000000000000001</v>
      </c>
      <c r="E3" s="2">
        <v>98</v>
      </c>
      <c r="F3" s="3">
        <f t="shared" ref="F3:F8" si="0">2*B3</f>
        <v>16.600000000000001</v>
      </c>
      <c r="G3" s="4">
        <f t="shared" ref="G3:G8" si="1">PI()*POWER(B3,2)*C3</f>
        <v>5410.6079476450223</v>
      </c>
      <c r="H3" s="3">
        <f t="shared" ref="H3:H8" si="2">SQRT(G3)</f>
        <v>73.556834812578927</v>
      </c>
      <c r="I3">
        <f t="shared" ref="I3:I8" si="3">ABS(D3-$K$2)</f>
        <v>1.9</v>
      </c>
      <c r="S3" t="s">
        <v>12</v>
      </c>
      <c r="T3">
        <v>5</v>
      </c>
    </row>
    <row r="4" spans="1:20" x14ac:dyDescent="0.25">
      <c r="A4" s="2">
        <v>3</v>
      </c>
      <c r="B4" s="2">
        <v>15.7</v>
      </c>
      <c r="C4" s="2">
        <v>40</v>
      </c>
      <c r="D4" s="2">
        <v>4</v>
      </c>
      <c r="E4" s="2">
        <v>210</v>
      </c>
      <c r="F4" s="3">
        <f t="shared" si="0"/>
        <v>31.4</v>
      </c>
      <c r="G4" s="4">
        <f t="shared" si="1"/>
        <v>30974.846927333921</v>
      </c>
      <c r="H4" s="3">
        <f t="shared" si="2"/>
        <v>175.99672419489494</v>
      </c>
      <c r="I4">
        <f t="shared" si="3"/>
        <v>1</v>
      </c>
    </row>
    <row r="5" spans="1:20" x14ac:dyDescent="0.25">
      <c r="A5" s="2">
        <v>4</v>
      </c>
      <c r="B5" s="2">
        <v>6.2</v>
      </c>
      <c r="C5" s="2">
        <v>18</v>
      </c>
      <c r="D5" s="2">
        <v>0.7</v>
      </c>
      <c r="E5" s="2">
        <v>75</v>
      </c>
      <c r="F5" s="3">
        <f t="shared" si="0"/>
        <v>12.4</v>
      </c>
      <c r="G5" s="4">
        <f t="shared" si="1"/>
        <v>2173.7307888718501</v>
      </c>
      <c r="H5" s="3">
        <f t="shared" si="2"/>
        <v>46.623285908136616</v>
      </c>
      <c r="I5">
        <f t="shared" si="3"/>
        <v>2.2999999999999998</v>
      </c>
    </row>
    <row r="6" spans="1:20" x14ac:dyDescent="0.25">
      <c r="A6" s="2">
        <v>5</v>
      </c>
      <c r="B6" s="2">
        <v>20.100000000000001</v>
      </c>
      <c r="C6" s="2">
        <v>55</v>
      </c>
      <c r="D6" s="2">
        <v>6.5</v>
      </c>
      <c r="E6" s="2">
        <v>320</v>
      </c>
      <c r="F6" s="3">
        <f t="shared" si="0"/>
        <v>40.200000000000003</v>
      </c>
      <c r="G6" s="4">
        <f t="shared" si="1"/>
        <v>69807.916638724681</v>
      </c>
      <c r="H6" s="3">
        <f t="shared" si="2"/>
        <v>264.21187830740064</v>
      </c>
      <c r="I6">
        <f t="shared" si="3"/>
        <v>3.5</v>
      </c>
    </row>
    <row r="7" spans="1:20" x14ac:dyDescent="0.25">
      <c r="A7" s="2">
        <v>6</v>
      </c>
      <c r="B7" s="2">
        <v>10.4</v>
      </c>
      <c r="C7" s="2">
        <v>28</v>
      </c>
      <c r="D7" s="2">
        <v>1.9</v>
      </c>
      <c r="E7" s="2">
        <v>130</v>
      </c>
      <c r="F7" s="3">
        <f t="shared" si="0"/>
        <v>20.8</v>
      </c>
      <c r="G7" s="4">
        <f t="shared" si="1"/>
        <v>9514.250519543617</v>
      </c>
      <c r="H7" s="3">
        <f t="shared" si="2"/>
        <v>97.541019676562826</v>
      </c>
      <c r="I7">
        <f t="shared" si="3"/>
        <v>1.1000000000000001</v>
      </c>
    </row>
    <row r="8" spans="1:20" x14ac:dyDescent="0.25">
      <c r="A8" s="2">
        <v>7</v>
      </c>
      <c r="B8" s="2">
        <v>18.899999999999999</v>
      </c>
      <c r="C8" s="2">
        <v>48</v>
      </c>
      <c r="D8" s="2">
        <v>5.2</v>
      </c>
      <c r="E8" s="2">
        <v>275</v>
      </c>
      <c r="F8" s="3">
        <f t="shared" si="0"/>
        <v>37.799999999999997</v>
      </c>
      <c r="G8" s="4">
        <f t="shared" si="1"/>
        <v>53865.998965862877</v>
      </c>
      <c r="H8" s="3">
        <f t="shared" si="2"/>
        <v>232.09049736226359</v>
      </c>
      <c r="I8">
        <f t="shared" si="3"/>
        <v>2.2000000000000002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Математика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2026-09-29T09:28:13Z</dcterms:modified>
</cp:coreProperties>
</file>